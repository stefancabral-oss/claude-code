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Premissas" sheetId="2" state="visible" r:id="rId2"/>
    <sheet name="Custo da Missão" sheetId="3" state="visible" r:id="rId3"/>
    <sheet name="Custos Fixos" sheetId="4" state="visible" r:id="rId4"/>
    <sheet name="Como us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(&quot;R$&quot; #,##0.00);-"/>
    <numFmt numFmtId="165" formatCode="0.0%"/>
    <numFmt numFmtId="166" formatCode="&quot;R$&quot; #,##0;(&quot;R$&quot; #,##0);-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C6672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1"/>
    </font>
    <font>
      <name val="Arial"/>
      <color rgb="000000FF"/>
      <sz val="10"/>
    </font>
    <font>
      <name val="Arial"/>
      <i val="1"/>
      <color rgb="00C9603F"/>
      <sz val="9"/>
    </font>
  </fonts>
  <fills count="6">
    <fill>
      <patternFill/>
    </fill>
    <fill>
      <patternFill patternType="gray125"/>
    </fill>
    <fill>
      <patternFill patternType="solid">
        <fgColor rgb="00132E4A"/>
      </patternFill>
    </fill>
    <fill>
      <patternFill patternType="solid">
        <fgColor rgb="003F7EA6"/>
      </patternFill>
    </fill>
    <fill>
      <patternFill patternType="solid">
        <fgColor rgb="00FBF8F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164" fontId="8" fillId="4" borderId="1" pivotButton="0" quotePrefix="0" xfId="0"/>
    <xf numFmtId="165" fontId="6" fillId="0" borderId="1" pivotButton="0" quotePrefix="0" xfId="0"/>
    <xf numFmtId="165" fontId="5" fillId="0" borderId="1" pivotButton="0" quotePrefix="0" xfId="0"/>
    <xf numFmtId="0" fontId="8" fillId="4" borderId="1" pivotButton="0" quotePrefix="0" xfId="0"/>
    <xf numFmtId="0" fontId="8" fillId="0" borderId="1" pivotButton="0" quotePrefix="0" xfId="0"/>
    <xf numFmtId="3" fontId="5" fillId="0" borderId="1" pivotButton="0" quotePrefix="0" xfId="0"/>
    <xf numFmtId="166" fontId="6" fillId="0" borderId="1" pivotButton="0" quotePrefix="0" xfId="0"/>
    <xf numFmtId="166" fontId="5" fillId="0" borderId="1" pivotButton="0" quotePrefix="0" xfId="0"/>
    <xf numFmtId="166" fontId="8" fillId="4" borderId="1" pivotButton="0" quotePrefix="0" xfId="0"/>
    <xf numFmtId="3" fontId="6" fillId="0" borderId="1" pivotButton="0" quotePrefix="0" xfId="0"/>
    <xf numFmtId="167" fontId="6" fillId="0" borderId="1" pivotButton="0" quotePrefix="0" xfId="0"/>
    <xf numFmtId="164" fontId="9" fillId="5" borderId="1" pivotButton="0" quotePrefix="0" xfId="0"/>
    <xf numFmtId="165" fontId="9" fillId="5" borderId="1" pivotButton="0" quotePrefix="0" xfId="0"/>
    <xf numFmtId="166" fontId="9" fillId="5" borderId="1" pivotButton="0" quotePrefix="0" xfId="0"/>
    <xf numFmtId="167" fontId="9" fillId="5" borderId="1" pivotButton="0" quotePrefix="0" xfId="0"/>
    <xf numFmtId="3" fontId="9" fillId="5" borderId="1" pivotButton="0" quotePrefix="0" xfId="0"/>
    <xf numFmtId="0" fontId="3" fillId="3" borderId="1" applyAlignment="1" pivotButton="0" quotePrefix="0" xfId="0">
      <alignment horizontal="center" wrapText="1"/>
    </xf>
    <xf numFmtId="167" fontId="7" fillId="4" borderId="1" pivotButton="0" quotePrefix="0" xfId="0"/>
    <xf numFmtId="0" fontId="10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46" customWidth="1" min="5" max="5"/>
  </cols>
  <sheetData>
    <row r="1" ht="26" customHeight="1">
      <c r="B1" s="1" t="inlineStr">
        <is>
          <t>DEIXA COMIGO — Unit Economics por pessoa cuidada</t>
        </is>
      </c>
    </row>
    <row r="2">
      <c r="B2" s="2" t="inlineStr">
        <is>
          <t>Preencha somente as células AMARELAS (texto azul). O resto calcula sozinho.</t>
        </is>
      </c>
    </row>
    <row r="3">
      <c r="B3" s="2" t="inlineStr">
        <is>
          <t>Legenda:  azul = você preenche   ·   preto = calculado   ·   verde = vem de outra aba</t>
        </is>
      </c>
    </row>
    <row r="5" ht="20" customHeight="1">
      <c r="B5" s="3" t="inlineStr">
        <is>
          <t>RESULTADO POR PESSOA CUIDADA / MÊS</t>
        </is>
      </c>
    </row>
    <row r="6">
      <c r="B6" s="4" t="inlineStr">
        <is>
          <t>Receita por pessoa cuidada (líquida do mix de desconto)</t>
        </is>
      </c>
      <c r="C6" s="5">
        <f>'Premissas'!C9</f>
        <v/>
      </c>
    </row>
    <row r="7">
      <c r="B7" s="4" t="inlineStr">
        <is>
          <t>(-) Custo humano (cenário típico P50)</t>
        </is>
      </c>
      <c r="C7" s="5">
        <f>-'Custo da Missão'!C20</f>
        <v/>
      </c>
    </row>
    <row r="8">
      <c r="B8" s="4" t="inlineStr">
        <is>
          <t>(-) Custo de tecnologia e IA</t>
        </is>
      </c>
      <c r="C8" s="6">
        <f>-'Premissas'!C16*'Custo da Missão'!C18</f>
        <v/>
      </c>
    </row>
    <row r="9">
      <c r="B9" s="7" t="inlineStr">
        <is>
          <t>(=) Margem de contribuição</t>
        </is>
      </c>
      <c r="C9" s="8">
        <f>C6+C7+C8</f>
        <v/>
      </c>
    </row>
    <row r="10">
      <c r="B10" s="4" t="inlineStr">
        <is>
          <t>Margem de contribuição (%)</t>
        </is>
      </c>
      <c r="C10" s="9">
        <f>IF(C6=0,0,C9/C6)</f>
        <v/>
      </c>
    </row>
    <row r="11">
      <c r="B11" s="4" t="inlineStr">
        <is>
          <t>Margem-alvo (porta 9.4)</t>
        </is>
      </c>
      <c r="C11" s="10">
        <f>'Premissas'!C20</f>
        <v/>
      </c>
    </row>
    <row r="12">
      <c r="B12" s="7" t="inlineStr">
        <is>
          <t>VEREDITO</t>
        </is>
      </c>
      <c r="C12" s="11">
        <f>IF(C10&gt;=C11,"✓ FECHA A CONTA","✗ NÃO FECHA")</f>
        <v/>
      </c>
    </row>
    <row r="14" ht="20" customHeight="1">
      <c r="B14" s="3" t="inlineStr">
        <is>
          <t>CENÁRIO DE CAUDA (P90 — a pessoa que usa muito)</t>
        </is>
      </c>
    </row>
    <row r="15">
      <c r="B15" s="4" t="inlineStr">
        <is>
          <t>Margem de contribuição no P90</t>
        </is>
      </c>
      <c r="C15" s="6">
        <f>C6-'Custo da Missão'!C21-'Premissas'!C16*'Custo da Missão'!C19</f>
        <v/>
      </c>
    </row>
    <row r="16">
      <c r="B16" s="4" t="inlineStr">
        <is>
          <t>Margem % no P90</t>
        </is>
      </c>
      <c r="C16" s="9">
        <f>IF(C6=0,0,C15/C6)</f>
        <v/>
      </c>
    </row>
    <row r="17">
      <c r="B17" s="7" t="inlineStr">
        <is>
          <t>Alerta da cauda</t>
        </is>
      </c>
      <c r="C17" s="12">
        <f>IF(C15&lt;0,"⚠ PREJUÍZO no P90","ok")</f>
        <v/>
      </c>
      <c r="E17" s="2" t="inlineStr">
        <is>
          <t>Se der prejuízo no P90: apertar limites do beta, subir preço ou cobrar missão extra.</t>
        </is>
      </c>
    </row>
    <row r="19" ht="20" customHeight="1">
      <c r="B19" s="3" t="inlineStr">
        <is>
          <t>OPERAÇÃO NA ESCALA ESCOLHIDA</t>
        </is>
      </c>
    </row>
    <row r="20">
      <c r="B20" s="4" t="inlineStr">
        <is>
          <t>Nº de pessoas cuidadas (cenário)</t>
        </is>
      </c>
      <c r="C20" s="13">
        <f>'Premissas'!C22</f>
        <v/>
      </c>
    </row>
    <row r="21">
      <c r="B21" s="4" t="inlineStr">
        <is>
          <t>Receita mensal total</t>
        </is>
      </c>
      <c r="C21" s="14">
        <f>C20*C6</f>
        <v/>
      </c>
    </row>
    <row r="22">
      <c r="B22" s="4" t="inlineStr">
        <is>
          <t>Custo variável total (P50)</t>
        </is>
      </c>
      <c r="C22" s="14">
        <f>C20*(-C7-C8)</f>
        <v/>
      </c>
    </row>
    <row r="23">
      <c r="B23" s="4" t="inlineStr">
        <is>
          <t>(-) Custos fixos mensais</t>
        </is>
      </c>
      <c r="C23" s="15">
        <f>-'Custos Fixos'!C15</f>
        <v/>
      </c>
    </row>
    <row r="24">
      <c r="B24" s="7" t="inlineStr">
        <is>
          <t>(=) Resultado mensal</t>
        </is>
      </c>
      <c r="C24" s="16">
        <f>C21-C22+C23</f>
        <v/>
      </c>
    </row>
    <row r="25">
      <c r="B25" s="4" t="inlineStr">
        <is>
          <t>Margem líquida (%)</t>
        </is>
      </c>
      <c r="C25" s="9">
        <f>IF(C21=0,0,C24/C21)</f>
        <v/>
      </c>
    </row>
    <row r="27" ht="20" customHeight="1">
      <c r="B27" s="3" t="inlineStr">
        <is>
          <t>PONTO DE EQUILÍBRIO E CAPACIDADE</t>
        </is>
      </c>
    </row>
    <row r="28">
      <c r="B28" s="4" t="inlineStr">
        <is>
          <t>Ponto de equilíbrio (nº de pessoas cuidadas)</t>
        </is>
      </c>
      <c r="C28" s="17">
        <f>IF(C9&lt;=0,0,ROUNDUP('Custos Fixos'!C15/C9,0))</f>
        <v/>
      </c>
    </row>
    <row r="29">
      <c r="B29" s="4" t="inlineStr">
        <is>
          <t>Horas humanas totais/mês na escala</t>
        </is>
      </c>
      <c r="C29" s="18">
        <f>C20*'Custo da Missão'!C18*'Custo da Missão'!C16/60</f>
        <v/>
      </c>
    </row>
    <row r="30">
      <c r="B30" s="4" t="inlineStr">
        <is>
          <t>Operadores necessários (jornada da premissa)</t>
        </is>
      </c>
      <c r="C30" s="18">
        <f>IF('Premissas'!C21=0,0,ROUNDUP(C28/'Premissas'!C21,1))</f>
        <v/>
      </c>
    </row>
    <row r="32" ht="20" customHeight="1">
      <c r="B32" s="3" t="inlineStr">
        <is>
          <t>TETO DO SIMPLES NACIONAL (alerta societário)</t>
        </is>
      </c>
    </row>
    <row r="33">
      <c r="B33" s="4" t="inlineStr">
        <is>
          <t>Receita anual da Deixa Comigo neste cenário</t>
        </is>
      </c>
      <c r="C33" s="14">
        <f>C21*12</f>
        <v/>
      </c>
    </row>
    <row r="34">
      <c r="B34" s="4" t="inlineStr">
        <is>
          <t>(+) Receita anual das outras empresas do sócio</t>
        </is>
      </c>
      <c r="C34" s="15">
        <f>'Premissas'!C25</f>
        <v/>
      </c>
    </row>
    <row r="35">
      <c r="B35" s="7" t="inlineStr">
        <is>
          <t>(=) Receita bruta GLOBAL</t>
        </is>
      </c>
      <c r="C35" s="14">
        <f>C33+C34</f>
        <v/>
      </c>
    </row>
    <row r="36">
      <c r="B36" s="4" t="inlineStr">
        <is>
          <t>Teto do Simples (LC 123)</t>
        </is>
      </c>
      <c r="C36" s="15">
        <f>'Premissas'!C26</f>
        <v/>
      </c>
    </row>
    <row r="37">
      <c r="B37" s="4" t="inlineStr">
        <is>
          <t>Situação</t>
        </is>
      </c>
      <c r="C37" s="12">
        <f>IF(C35&gt;C36,"⚠ ESTOURA O TETO — Simples inviável","✓ dentro do teto")</f>
        <v/>
      </c>
    </row>
    <row r="38">
      <c r="B38" s="4" t="inlineStr">
        <is>
          <t>Nº máximo de pessoas cuidadas dentro do Simples</t>
        </is>
      </c>
      <c r="C38" s="17">
        <f>IF(C6=0,0,ROUNDDOWN((C36-C34)/(C6*12),0))</f>
        <v/>
      </c>
    </row>
  </sheetData>
  <mergeCells count="6">
    <mergeCell ref="B27:E27"/>
    <mergeCell ref="B1:E1"/>
    <mergeCell ref="B19:E19"/>
    <mergeCell ref="B5:E5"/>
    <mergeCell ref="B14:E14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2" customWidth="1" min="4" max="4"/>
    <col width="62" customWidth="1" min="5" max="5"/>
  </cols>
  <sheetData>
    <row r="1" ht="26" customHeight="1">
      <c r="B1" s="1" t="inlineStr">
        <is>
          <t>PREMISSAS — preencha as células amarelas</t>
        </is>
      </c>
    </row>
    <row r="2">
      <c r="B2" s="2" t="inlineStr">
        <is>
          <t>Todo número de entrada do modelo mora aqui. Nenhuma outra aba tem valor digitado.</t>
        </is>
      </c>
    </row>
    <row r="4" ht="20" customHeight="1">
      <c r="B4" s="3" t="inlineStr">
        <is>
          <t>PREÇO</t>
        </is>
      </c>
    </row>
    <row r="5">
      <c r="B5" s="2" t="inlineStr">
        <is>
          <t>Modelo aprovado: cobrança POR PESSOA CUIDADA (31/07/2026)</t>
        </is>
      </c>
    </row>
    <row r="6">
      <c r="B6" s="4" t="inlineStr">
        <is>
          <t>Preço mensal por pessoa cuidada</t>
        </is>
      </c>
      <c r="C6" s="19" t="n">
        <v>390</v>
      </c>
      <c r="E6" s="2" t="inlineStr">
        <is>
          <t>HIPÓTESE — não é Preço Canônico. Definido na Etapa 10.</t>
        </is>
      </c>
    </row>
    <row r="7">
      <c r="B7" s="4" t="inlineStr">
        <is>
          <t>Desconto na 2ª pessoa do mesmo núcleo</t>
        </is>
      </c>
      <c r="C7" s="20" t="n">
        <v>0.5</v>
      </c>
      <c r="E7" s="2" t="inlineStr">
        <is>
          <t>Espelha o custo marginal menor: 'o contato não dobra'.</t>
        </is>
      </c>
    </row>
    <row r="8">
      <c r="B8" s="4" t="inlineStr">
        <is>
          <t>% de núcleos com 2 pessoas cuidadas</t>
        </is>
      </c>
      <c r="C8" s="20" t="n">
        <v>0.2</v>
      </c>
      <c r="E8" s="2" t="inlineStr">
        <is>
          <t>Estimativa; medir no piloto.</t>
        </is>
      </c>
    </row>
    <row r="9">
      <c r="B9" s="4" t="inlineStr">
        <is>
          <t>Receita média efetiva por pessoa</t>
        </is>
      </c>
      <c r="C9" s="6">
        <f>C6*(1-C8*C7/2)</f>
        <v/>
      </c>
      <c r="E9" s="2" t="inlineStr">
        <is>
          <t>Ajusta o preço cheio pelo mix de segundas pessoas com desconto.</t>
        </is>
      </c>
    </row>
    <row r="11" ht="20" customHeight="1">
      <c r="B11" s="3" t="inlineStr">
        <is>
          <t>CUSTOS VARIÁVEIS</t>
        </is>
      </c>
    </row>
    <row r="12">
      <c r="B12" s="4" t="inlineStr">
        <is>
          <t>Custo/hora carregado da operação humana</t>
        </is>
      </c>
      <c r="C12" s="19" t="n">
        <v>79.55</v>
      </c>
      <c r="E12" s="2" t="inlineStr">
        <is>
          <t>Fundador 31/07: SDR bom = R$ 6.000/mês. CLT c/ encargos (x1,75) = R$ 10.500 / 132h = R$ 79,55. Se PJ: use 47,73.</t>
        </is>
      </c>
    </row>
    <row r="13">
      <c r="B13" s="4" t="inlineStr">
        <is>
          <t xml:space="preserve">  [ref] Salário mensal do operador</t>
        </is>
      </c>
      <c r="C13" s="21" t="n">
        <v>6000</v>
      </c>
      <c r="E13" s="2" t="inlineStr">
        <is>
          <t>Fonte: fundador, 31/07/2026 — SDR de atendimento passivo.</t>
        </is>
      </c>
    </row>
    <row r="14">
      <c r="B14" s="4" t="inlineStr">
        <is>
          <t xml:space="preserve">  [ref] Multiplicador de encargos</t>
        </is>
      </c>
      <c r="C14" s="22" t="n">
        <v>1.75</v>
      </c>
      <c r="E14" s="2" t="inlineStr">
        <is>
          <t>CLT ~1,75 · PJ ~1,05. Célula de referência: recalcule a linha 12 se mudar.</t>
        </is>
      </c>
    </row>
    <row r="15">
      <c r="B15" s="4" t="inlineStr">
        <is>
          <t>Custo/hora de especialista (escalonamento)</t>
        </is>
      </c>
      <c r="C15" s="19" t="n">
        <v>120</v>
      </c>
      <c r="E15" s="2" t="inlineStr">
        <is>
          <t>Casos que sobem para profissional habilitado.</t>
        </is>
      </c>
    </row>
    <row r="16">
      <c r="B16" s="4" t="inlineStr">
        <is>
          <t>Custo de IA/software por missão</t>
        </is>
      </c>
      <c r="C16" s="19" t="n">
        <v>3</v>
      </c>
      <c r="E16" s="2" t="inlineStr">
        <is>
          <t>Tokens, telefonia, integrações.</t>
        </is>
      </c>
    </row>
    <row r="17">
      <c r="B17" s="4" t="inlineStr">
        <is>
          <t>% das missões que escalam para especialista</t>
        </is>
      </c>
      <c r="C17" s="20" t="n">
        <v>0.1</v>
      </c>
      <c r="E17" s="2" t="inlineStr">
        <is>
          <t>Medir no piloto.</t>
        </is>
      </c>
    </row>
    <row r="19" ht="20" customHeight="1">
      <c r="B19" s="3" t="inlineStr">
        <is>
          <t>METAS E CENÁRIO</t>
        </is>
      </c>
    </row>
    <row r="20">
      <c r="B20" s="4" t="inlineStr">
        <is>
          <t>Margem-alvo mínima (porta 9.4)</t>
        </is>
      </c>
      <c r="C20" s="20" t="n">
        <v>0.3</v>
      </c>
      <c r="E20" s="2" t="inlineStr">
        <is>
          <t>Trava do motor: abaixo disso a conta não fecha.</t>
        </is>
      </c>
    </row>
    <row r="21">
      <c r="B21" s="4" t="inlineStr">
        <is>
          <t>Horas produtivas por operador/mês</t>
        </is>
      </c>
      <c r="C21" s="22" t="n">
        <v>132</v>
      </c>
      <c r="E21" s="2" t="inlineStr">
        <is>
          <t>Ex.: 176h contratuais × 75% de produtividade.</t>
        </is>
      </c>
    </row>
    <row r="22">
      <c r="B22" s="4" t="inlineStr">
        <is>
          <t>Nº de pessoas cuidadas no cenário</t>
        </is>
      </c>
      <c r="C22" s="23" t="n">
        <v>300</v>
      </c>
      <c r="E22" s="2" t="inlineStr">
        <is>
          <t>Objetivo da Etapa 6: 300 até jul/2027.</t>
        </is>
      </c>
    </row>
    <row r="24" ht="20" customHeight="1">
      <c r="B24" s="3" t="inlineStr">
        <is>
          <t>CONTEXTO SOCIETÁRIO (para o alerta do Simples)</t>
        </is>
      </c>
    </row>
    <row r="25">
      <c r="B25" s="4" t="inlineStr">
        <is>
          <t>Receita anual das outras empresas do sócio</t>
        </is>
      </c>
      <c r="C25" s="21" t="n">
        <v>4200000</v>
      </c>
      <c r="E25" s="2" t="inlineStr">
        <is>
          <t>Setfree: R$ 350k/mês x 12. Fonte: fundador, 31/07/2026.</t>
        </is>
      </c>
    </row>
    <row r="26">
      <c r="B26" s="4" t="inlineStr">
        <is>
          <t>Teto da receita bruta global — Simples</t>
        </is>
      </c>
      <c r="C26" s="21" t="n">
        <v>4800000</v>
      </c>
      <c r="E26" s="2" t="inlineStr">
        <is>
          <t>LC 123/2006. Confirmar vigência com a Cony Services.</t>
        </is>
      </c>
    </row>
  </sheetData>
  <mergeCells count="5">
    <mergeCell ref="B1:E1"/>
    <mergeCell ref="B4:E4"/>
    <mergeCell ref="B11:E11"/>
    <mergeCell ref="B24:E24"/>
    <mergeCell ref="B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6" customHeight="1">
      <c r="B1" s="1" t="inlineStr">
        <is>
          <t>CUSTO DA MISSÃO — o coração do modelo</t>
        </is>
      </c>
    </row>
    <row r="2">
      <c r="B2" s="2" t="inlineStr">
        <is>
          <t>Catálogo do Produto Zero. Preencha os minutos humanos e a frequência de cada missão.</t>
        </is>
      </c>
    </row>
    <row r="4" ht="30" customHeight="1">
      <c r="B4" s="24" t="inlineStr">
        <is>
          <t>Missão (catálogo)</t>
        </is>
      </c>
      <c r="C4" s="24" t="inlineStr">
        <is>
          <t>Minutos humanos</t>
        </is>
      </c>
      <c r="D4" s="24" t="inlineStr">
        <is>
          <t>Missões/mês (P50)</t>
        </is>
      </c>
      <c r="E4" s="24" t="inlineStr">
        <is>
          <t>Missões/mês (P90)</t>
        </is>
      </c>
    </row>
    <row r="5">
      <c r="B5" s="4" t="inlineStr">
        <is>
          <t>Agenda e acesso (marcar, remarcar, confirmar)</t>
        </is>
      </c>
      <c r="C5" s="23" t="n">
        <v>25</v>
      </c>
      <c r="D5" s="22" t="n">
        <v>1</v>
      </c>
      <c r="E5" s="22" t="n">
        <v>2.5</v>
      </c>
    </row>
    <row r="6">
      <c r="B6" s="4" t="inlineStr">
        <is>
          <t>Documento claro (organizar e resumir)</t>
        </is>
      </c>
      <c r="C6" s="23" t="n">
        <v>30</v>
      </c>
      <c r="D6" s="22" t="n">
        <v>0.5</v>
      </c>
      <c r="E6" s="22" t="n">
        <v>1.5</v>
      </c>
    </row>
    <row r="7">
      <c r="B7" s="4" t="inlineStr">
        <is>
          <t>Três opções prontas (comparar prestadores)</t>
        </is>
      </c>
      <c r="C7" s="23" t="n">
        <v>45</v>
      </c>
      <c r="D7" s="22" t="n">
        <v>0.3</v>
      </c>
      <c r="E7" s="22" t="n">
        <v>1</v>
      </c>
    </row>
    <row r="8">
      <c r="B8" s="4" t="inlineStr">
        <is>
          <t>Protocolo acompanhado (convênio, ouvidoria)</t>
        </is>
      </c>
      <c r="C8" s="23" t="n">
        <v>60</v>
      </c>
      <c r="D8" s="22" t="n">
        <v>0.5</v>
      </c>
      <c r="E8" s="22" t="n">
        <v>2</v>
      </c>
    </row>
    <row r="9">
      <c r="B9" s="4" t="inlineStr">
        <is>
          <t>Plano de próximos passos</t>
        </is>
      </c>
      <c r="C9" s="23" t="n">
        <v>20</v>
      </c>
      <c r="D9" s="22" t="n">
        <v>0.3</v>
      </c>
      <c r="E9" s="22" t="n">
        <v>1</v>
      </c>
    </row>
    <row r="10">
      <c r="B10" s="4" t="inlineStr">
        <is>
          <t>Família alinhada (atualização factual)</t>
        </is>
      </c>
      <c r="C10" s="23" t="n">
        <v>15</v>
      </c>
      <c r="D10" s="22" t="n">
        <v>0.4</v>
      </c>
      <c r="E10" s="22" t="n">
        <v>1</v>
      </c>
    </row>
    <row r="11">
      <c r="B11" s="7" t="inlineStr">
        <is>
          <t>TOTAL</t>
        </is>
      </c>
      <c r="D11" s="25">
        <f>SUM(D5:D10)</f>
        <v/>
      </c>
      <c r="E11" s="25">
        <f>SUM(E5:E10)</f>
        <v/>
      </c>
    </row>
    <row r="13" ht="20" customHeight="1">
      <c r="B13" s="3" t="inlineStr">
        <is>
          <t>CÁLCULO DO CUSTO POR PESSOA CUIDADA / MÊS</t>
        </is>
      </c>
    </row>
    <row r="16">
      <c r="B16" s="4" t="inlineStr">
        <is>
          <t>Minutos humanos médios por missão</t>
        </is>
      </c>
      <c r="C16" s="18">
        <f>IF(C11=0,0,SUMPRODUCT(C5:C10,D5:D10)/D11)</f>
        <v/>
      </c>
      <c r="F16" s="2" t="inlineStr">
        <is>
          <t>Média ponderada pela frequência real, não média simples.</t>
        </is>
      </c>
    </row>
    <row r="17">
      <c r="B17" s="4" t="inlineStr">
        <is>
          <t>Custo humano por missão</t>
        </is>
      </c>
      <c r="C17" s="6">
        <f>C16/60*'Premissas'!C12+C16/60*'Premissas'!C17*('Premissas'!C15-'Premissas'!C12)</f>
        <v/>
      </c>
      <c r="F17" s="2" t="inlineStr">
        <is>
          <t>Operador + parcela que escala para especialista.</t>
        </is>
      </c>
    </row>
    <row r="18">
      <c r="B18" s="4" t="inlineStr">
        <is>
          <t>Missões por pessoa/mês (P50)</t>
        </is>
      </c>
      <c r="C18" s="18">
        <f>D11</f>
        <v/>
      </c>
      <c r="F18" s="2" t="inlineStr">
        <is>
          <t>Cenário típico.</t>
        </is>
      </c>
    </row>
    <row r="19">
      <c r="B19" s="4" t="inlineStr">
        <is>
          <t>Missões por pessoa/mês (P90)</t>
        </is>
      </c>
      <c r="C19" s="18">
        <f>E11</f>
        <v/>
      </c>
      <c r="F19" s="2" t="inlineStr">
        <is>
          <t>A cauda: quem usa muito. É esta que decide o preço.</t>
        </is>
      </c>
    </row>
    <row r="20">
      <c r="B20" s="7" t="inlineStr">
        <is>
          <t>CUSTO HUMANO por pessoa/mês (P50)</t>
        </is>
      </c>
      <c r="C20" s="8">
        <f>C17*C18</f>
        <v/>
      </c>
      <c r="F20" s="2" t="inlineStr">
        <is>
          <t>Vai para o Painel.</t>
        </is>
      </c>
    </row>
    <row r="21">
      <c r="B21" s="7" t="inlineStr">
        <is>
          <t>CUSTO HUMANO por pessoa/mês (P90)</t>
        </is>
      </c>
      <c r="C21" s="8">
        <f>C17*C19</f>
        <v/>
      </c>
      <c r="F21" s="2" t="inlineStr">
        <is>
          <t>Vai para o alerta de cauda.</t>
        </is>
      </c>
    </row>
    <row r="23">
      <c r="B23" s="26" t="inlineStr">
        <is>
          <t>⚠ Enquanto o piloto não medir minutos reais por missão, todos estes números são estimativa. A porta 24.x deve cronometrar desde o primeiro cliente.</t>
        </is>
      </c>
    </row>
  </sheetData>
  <mergeCells count="2">
    <mergeCell ref="B13:F13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50" customWidth="1" min="5" max="5"/>
  </cols>
  <sheetData>
    <row r="1" ht="26" customHeight="1">
      <c r="B1" s="1" t="inlineStr">
        <is>
          <t>CUSTOS FIXOS MENSAIS</t>
        </is>
      </c>
    </row>
    <row r="2">
      <c r="B2" s="2" t="inlineStr">
        <is>
          <t>O que a empresa gasta independentemente de quantos clientes tem.</t>
        </is>
      </c>
    </row>
    <row r="5">
      <c r="B5" s="4" t="inlineStr">
        <is>
          <t>Coordenação / gestão da operação</t>
        </is>
      </c>
      <c r="C5" s="21" t="n">
        <v>8000</v>
      </c>
      <c r="E5" s="2" t="inlineStr">
        <is>
          <t>Quem supervisiona a célula terceirizada.</t>
        </is>
      </c>
    </row>
    <row r="6">
      <c r="B6" s="4" t="inlineStr">
        <is>
          <t>Tecnologia base (WhatsApp API, hospedagem, banco)</t>
        </is>
      </c>
      <c r="C6" s="21" t="n">
        <v>1500</v>
      </c>
    </row>
    <row r="7">
      <c r="B7" s="4" t="inlineStr">
        <is>
          <t>Ferramentas e assinaturas</t>
        </is>
      </c>
      <c r="C7" s="21" t="n">
        <v>800</v>
      </c>
      <c r="E7" s="2" t="inlineStr">
        <is>
          <t>IA, CRM, produtividade.</t>
        </is>
      </c>
    </row>
    <row r="8">
      <c r="B8" s="4" t="inlineStr">
        <is>
          <t>Jurídico e contábil</t>
        </is>
      </c>
      <c r="C8" s="21" t="n">
        <v>2500</v>
      </c>
      <c r="E8" s="2" t="inlineStr">
        <is>
          <t>Contrato, LGPD, contabilidade mensal.</t>
        </is>
      </c>
    </row>
    <row r="9">
      <c r="B9" s="4" t="inlineStr">
        <is>
          <t>Marketing e aquisição</t>
        </is>
      </c>
      <c r="C9" s="21" t="n">
        <v>5000</v>
      </c>
      <c r="E9" s="2" t="inlineStr">
        <is>
          <t>Ajustar conforme a Etapa 28.</t>
        </is>
      </c>
    </row>
    <row r="10">
      <c r="B10" s="4" t="inlineStr">
        <is>
          <t>Estrutura (endereço fiscal, banco, taxas)</t>
        </is>
      </c>
      <c r="C10" s="21" t="n">
        <v>700</v>
      </c>
    </row>
    <row r="11">
      <c r="B11" s="4" t="inlineStr">
        <is>
          <t>Outros / reserva</t>
        </is>
      </c>
      <c r="C11" s="21" t="n">
        <v>1500</v>
      </c>
    </row>
    <row r="15">
      <c r="B15" s="27" t="inlineStr">
        <is>
          <t>TOTAL DE CUSTOS FIXOS / MÊS</t>
        </is>
      </c>
      <c r="C15" s="16">
        <f>SUM(C5:C11)</f>
        <v/>
      </c>
    </row>
    <row r="17">
      <c r="B17" s="28" t="inlineStr">
        <is>
          <t>Runway (porta 9.5)</t>
        </is>
      </c>
    </row>
    <row r="18">
      <c r="B18" s="4" t="inlineStr">
        <is>
          <t>Caixa disponível hoje</t>
        </is>
      </c>
      <c r="C18" s="21" t="n">
        <v>0</v>
      </c>
      <c r="E18" s="2" t="inlineStr">
        <is>
          <t>⚠ Preencher — a porta 9.5 exige caixa para ≥ 6 meses.</t>
        </is>
      </c>
    </row>
    <row r="19">
      <c r="B19" s="4" t="inlineStr">
        <is>
          <t>Meses de runway sem receita</t>
        </is>
      </c>
      <c r="C19" s="18">
        <f>IF(C15=0,0,C18/C15)</f>
        <v/>
      </c>
    </row>
    <row r="20">
      <c r="B20" s="7" t="inlineStr">
        <is>
          <t>Situação da porta 9.5</t>
        </is>
      </c>
      <c r="C20" s="12">
        <f>IF(C19&gt;=6,"✓ ok (≥6 meses)","⚠ abaixo de 6 meses")</f>
        <v/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26" customHeight="1">
      <c r="B1" s="1" t="inlineStr">
        <is>
          <t>COMO USAR ESTA PLANILHA</t>
        </is>
      </c>
    </row>
    <row r="4">
      <c r="B4" s="7" t="inlineStr">
        <is>
          <t>1. Preencha as células AMARELAS da aba Premissas.</t>
        </is>
      </c>
    </row>
    <row r="5" ht="30" customHeight="1">
      <c r="B5" s="29" t="inlineStr">
        <is>
          <t>O número mais importante — e o único que você ainda não tem — é o custo/hora carregado da operação (linha 12). Peça ao fornecedor: 'quanto custa uma hora produtiva de um operador, com encargos e gestão inclusos?'</t>
        </is>
      </c>
    </row>
    <row r="6">
      <c r="B6" s="7" t="inlineStr">
        <is>
          <t>2. Ajuste os minutos por missão na aba Custo da Missão.</t>
        </is>
      </c>
    </row>
    <row r="7" ht="30" customHeight="1">
      <c r="B7" s="29" t="inlineStr">
        <is>
          <t>Os valores atuais são estimativa de partida. Use seu conhecimento do mercado para corrigir — e substitua por medição real assim que o piloto começar.</t>
        </is>
      </c>
    </row>
    <row r="8">
      <c r="B8" s="7" t="inlineStr">
        <is>
          <t>3. Revise os Custos Fixos.</t>
        </is>
      </c>
    </row>
    <row r="9" ht="30" customHeight="1">
      <c r="B9" s="29" t="inlineStr">
        <is>
          <t>Inclua o que já sabe. E preencha o caixa disponível (linha 18) — a porta 9.5 do motor exige runway de 6 meses.</t>
        </is>
      </c>
    </row>
    <row r="10">
      <c r="B10" s="7" t="inlineStr">
        <is>
          <t>4. Leia o Painel.</t>
        </is>
      </c>
    </row>
    <row r="11" ht="30" customHeight="1">
      <c r="B11" s="29" t="inlineStr">
        <is>
          <t>Ele responde as perguntas que travam a Etapa 9: a conta fecha? qual a margem? quantas pessoas para empatar? quantos operadores preciso? e o alerta do Simples.</t>
        </is>
      </c>
    </row>
    <row r="13">
      <c r="B13" s="7" t="inlineStr">
        <is>
          <t>As três perguntas que esta planilha existe para responder:</t>
        </is>
      </c>
    </row>
    <row r="14">
      <c r="B14" s="7" t="inlineStr">
        <is>
          <t>• A conta fecha no cenário típico (P50)?</t>
        </is>
      </c>
    </row>
    <row r="15" ht="30" customHeight="1">
      <c r="B15" s="29" t="inlineStr">
        <is>
          <t>Painel, linha 12.</t>
        </is>
      </c>
    </row>
    <row r="16">
      <c r="B16" s="7" t="inlineStr">
        <is>
          <t>• A conta AGUENTA a cauda (P90)?</t>
        </is>
      </c>
    </row>
    <row r="17" ht="30" customHeight="1">
      <c r="B17" s="29" t="inlineStr">
        <is>
          <t>Painel, linha 17. Se der prejuízo no P90, o preço ou os limites precisam mudar — foi o alerta das entrevistas: 'todos vão usar'.</t>
        </is>
      </c>
    </row>
    <row r="18">
      <c r="B18" s="7" t="inlineStr">
        <is>
          <t>• Até onde o Simples aguenta?</t>
        </is>
      </c>
    </row>
    <row r="19" ht="30" customHeight="1">
      <c r="B19" s="29" t="inlineStr">
        <is>
          <t>Painel, linha 38. Com a Setfree em R$ 4,2 mi/ano, a folga é pequena.</t>
        </is>
      </c>
    </row>
    <row r="21">
      <c r="B21" s="7" t="inlineStr">
        <is>
          <t>Regra de ouro:</t>
        </is>
      </c>
    </row>
    <row r="22" ht="30" customHeight="1">
      <c r="B22" s="29" t="inlineStr">
        <is>
          <t>enquanto o piloto não medir minutos humanos reais por missão, tudo aqui é hipótese organizada — útil para decidir direção, insuficiente para fixar preço.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2026-08-01T01:12:27Z</dcterms:created>
  <dcterms:modified xsi:type="dcterms:W3CDTF">2026-08-01T01:12:27Z</dcterms:modified>
</cp:coreProperties>
</file>